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Media\Civil Engeenering\Arshad\Thesis\Concrete Damage Plasticity\"/>
    </mc:Choice>
  </mc:AlternateContent>
  <xr:revisionPtr revIDLastSave="0" documentId="13_ncr:1_{58E40C19-35C5-41C2-AD90-4BB05532AE0A}" xr6:coauthVersionLast="47" xr6:coauthVersionMax="47" xr10:uidLastSave="{00000000-0000-0000-0000-000000000000}"/>
  <workbookProtection workbookAlgorithmName="SHA-512" workbookHashValue="dAsnxWuHN+giuXVTw0Q+AZmP5zLdQhaKkllhEmuG0NhI8L9RmTdoWrAW/OKHXAGeesYj82LmuyEkmL4IR1nzvg==" workbookSaltValue="zi6CX35FJQkSCTBciJLPQQ==" workbookSpinCount="100000" lockStructure="1"/>
  <bookViews>
    <workbookView xWindow="-120" yWindow="-120" windowWidth="29040" windowHeight="15720" xr2:uid="{00000000-000D-0000-FFFF-FFFF00000000}"/>
  </bookViews>
  <sheets>
    <sheet name="C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1" l="1"/>
  <c r="M8" i="1"/>
  <c r="M11" i="1" s="1"/>
  <c r="O11" i="1" s="1"/>
  <c r="C8" i="1"/>
  <c r="C22" i="1" s="1"/>
  <c r="I22" i="1" s="1"/>
  <c r="G19" i="1"/>
  <c r="H19" i="1"/>
  <c r="G20" i="1"/>
  <c r="H20" i="1"/>
  <c r="G21" i="1"/>
  <c r="H21" i="1"/>
  <c r="G22" i="1"/>
  <c r="H22" i="1"/>
  <c r="G18" i="1"/>
  <c r="H18" i="1"/>
  <c r="H3" i="1"/>
  <c r="H9" i="1"/>
  <c r="H10" i="1"/>
  <c r="H11" i="1"/>
  <c r="H12" i="1"/>
  <c r="H13" i="1"/>
  <c r="H14" i="1"/>
  <c r="H15" i="1"/>
  <c r="H16" i="1"/>
  <c r="H17" i="1"/>
  <c r="H23" i="1"/>
  <c r="H8" i="1"/>
  <c r="G9" i="1"/>
  <c r="G10" i="1"/>
  <c r="G11" i="1"/>
  <c r="G12" i="1"/>
  <c r="G13" i="1"/>
  <c r="G14" i="1"/>
  <c r="G15" i="1"/>
  <c r="G16" i="1"/>
  <c r="G17" i="1"/>
  <c r="G23" i="1"/>
  <c r="G8" i="1"/>
  <c r="C23" i="1" l="1"/>
  <c r="L8" i="1"/>
  <c r="N8" i="1" s="1"/>
  <c r="M9" i="1"/>
  <c r="O9" i="1" s="1"/>
  <c r="C19" i="1"/>
  <c r="I19" i="1" s="1"/>
  <c r="K19" i="1" s="1"/>
  <c r="C20" i="1"/>
  <c r="I20" i="1" s="1"/>
  <c r="K20" i="1" s="1"/>
  <c r="C21" i="1"/>
  <c r="I21" i="1" s="1"/>
  <c r="J21" i="1" s="1"/>
  <c r="J22" i="1"/>
  <c r="K22" i="1"/>
  <c r="C18" i="1"/>
  <c r="I18" i="1" s="1"/>
  <c r="J18" i="1" s="1"/>
  <c r="O8" i="1"/>
  <c r="M10" i="1"/>
  <c r="O10" i="1" s="1"/>
  <c r="C10" i="1"/>
  <c r="I10" i="1" s="1"/>
  <c r="J10" i="1" s="1"/>
  <c r="I8" i="1"/>
  <c r="C9" i="1"/>
  <c r="I9" i="1" s="1"/>
  <c r="C11" i="1"/>
  <c r="I11" i="1" s="1"/>
  <c r="C12" i="1"/>
  <c r="I12" i="1" s="1"/>
  <c r="C13" i="1"/>
  <c r="I13" i="1" s="1"/>
  <c r="C14" i="1"/>
  <c r="I14" i="1" s="1"/>
  <c r="C15" i="1"/>
  <c r="I15" i="1" s="1"/>
  <c r="C16" i="1"/>
  <c r="I16" i="1" s="1"/>
  <c r="C17" i="1"/>
  <c r="I17" i="1" s="1"/>
  <c r="J19" i="1" l="1"/>
  <c r="B19" i="1" s="1"/>
  <c r="J20" i="1"/>
  <c r="B20" i="1" s="1"/>
  <c r="K21" i="1"/>
  <c r="B21" i="1" s="1"/>
  <c r="B22" i="1"/>
  <c r="K18" i="1"/>
  <c r="B18" i="1" s="1"/>
  <c r="K10" i="1"/>
  <c r="B10" i="1" s="1"/>
  <c r="K13" i="1"/>
  <c r="J13" i="1"/>
  <c r="J11" i="1"/>
  <c r="K11" i="1"/>
  <c r="J8" i="1"/>
  <c r="K8" i="1"/>
  <c r="J12" i="1"/>
  <c r="K12" i="1"/>
  <c r="J17" i="1"/>
  <c r="K17" i="1"/>
  <c r="J16" i="1"/>
  <c r="K16" i="1"/>
  <c r="J14" i="1"/>
  <c r="K14" i="1"/>
  <c r="K9" i="1"/>
  <c r="J9" i="1"/>
  <c r="J15" i="1"/>
  <c r="K15" i="1"/>
  <c r="E43" i="1" l="1"/>
  <c r="B9" i="1"/>
  <c r="B8" i="1"/>
  <c r="H5" i="1" s="1"/>
  <c r="B11" i="1"/>
  <c r="B13" i="1"/>
  <c r="B15" i="1"/>
  <c r="B12" i="1"/>
  <c r="B16" i="1"/>
  <c r="B17" i="1"/>
  <c r="B14" i="1"/>
  <c r="D16" i="1" l="1"/>
  <c r="F16" i="1" s="1"/>
  <c r="D43" i="1"/>
  <c r="F43" i="1" s="1"/>
  <c r="D17" i="1"/>
  <c r="F17" i="1" s="1"/>
  <c r="D12" i="1"/>
  <c r="F12" i="1" s="1"/>
  <c r="D13" i="1"/>
  <c r="F13" i="1" s="1"/>
  <c r="D9" i="1"/>
  <c r="F9" i="1" s="1"/>
  <c r="D22" i="1"/>
  <c r="F22" i="1" s="1"/>
  <c r="D19" i="1"/>
  <c r="F19" i="1" s="1"/>
  <c r="D21" i="1"/>
  <c r="F21" i="1" s="1"/>
  <c r="D18" i="1"/>
  <c r="F18" i="1" s="1"/>
  <c r="D20" i="1"/>
  <c r="F20" i="1" s="1"/>
  <c r="D10" i="1"/>
  <c r="F10" i="1" s="1"/>
  <c r="D8" i="1"/>
  <c r="F8" i="1" s="1"/>
  <c r="D14" i="1"/>
  <c r="F14" i="1" s="1"/>
  <c r="D15" i="1"/>
  <c r="F15" i="1" s="1"/>
  <c r="D11" i="1"/>
  <c r="F11" i="1" s="1"/>
  <c r="P8" i="1" l="1"/>
  <c r="L10" i="1"/>
  <c r="L9" i="1"/>
  <c r="L11" i="1"/>
  <c r="N11" i="1" l="1"/>
  <c r="P11" i="1" s="1"/>
  <c r="N9" i="1"/>
  <c r="P9" i="1" s="1"/>
  <c r="N10" i="1"/>
  <c r="P10" i="1" s="1"/>
  <c r="E23" i="1"/>
  <c r="I23" i="1"/>
  <c r="K23" i="1" s="1"/>
  <c r="J23" i="1" l="1"/>
  <c r="B23" i="1" s="1"/>
  <c r="A24" i="1" l="1"/>
  <c r="B24" i="1" s="1"/>
  <c r="D23" i="1"/>
  <c r="F23" i="1" s="1"/>
  <c r="C24" i="1" l="1"/>
  <c r="E24" i="1" s="1"/>
  <c r="B25" i="1"/>
  <c r="D24" i="1"/>
  <c r="F24" i="1" s="1"/>
  <c r="B26" i="1" l="1"/>
  <c r="C26" i="1" s="1"/>
  <c r="E26" i="1" s="1"/>
  <c r="C25" i="1"/>
  <c r="E25" i="1"/>
  <c r="B27" i="1"/>
  <c r="C27" i="1" s="1"/>
  <c r="D25" i="1" l="1"/>
  <c r="F25" i="1" s="1"/>
  <c r="B28" i="1"/>
  <c r="C28" i="1" s="1"/>
  <c r="E27" i="1"/>
  <c r="D26" i="1"/>
  <c r="F26" i="1" s="1"/>
  <c r="E28" i="1" l="1"/>
  <c r="B29" i="1"/>
  <c r="C29" i="1" s="1"/>
  <c r="D27" i="1"/>
  <c r="F27" i="1" s="1"/>
  <c r="E29" i="1" l="1"/>
  <c r="B30" i="1"/>
  <c r="C30" i="1" s="1"/>
  <c r="D28" i="1"/>
  <c r="F28" i="1" s="1"/>
  <c r="E30" i="1" l="1"/>
  <c r="B31" i="1"/>
  <c r="C31" i="1" s="1"/>
  <c r="D29" i="1"/>
  <c r="F29" i="1" s="1"/>
  <c r="D30" i="1" l="1"/>
  <c r="F30" i="1" s="1"/>
  <c r="E31" i="1"/>
  <c r="B32" i="1"/>
  <c r="C32" i="1" s="1"/>
  <c r="D31" i="1" l="1"/>
  <c r="F31" i="1" s="1"/>
  <c r="E32" i="1"/>
  <c r="B33" i="1"/>
  <c r="C33" i="1" s="1"/>
  <c r="D32" i="1" l="1"/>
  <c r="F32" i="1" s="1"/>
  <c r="B34" i="1"/>
  <c r="C34" i="1" s="1"/>
  <c r="E33" i="1"/>
  <c r="D33" i="1" l="1"/>
  <c r="F33" i="1" s="1"/>
  <c r="B35" i="1"/>
  <c r="C35" i="1" s="1"/>
  <c r="E34" i="1"/>
  <c r="B36" i="1" l="1"/>
  <c r="C36" i="1" s="1"/>
  <c r="E35" i="1"/>
  <c r="D34" i="1"/>
  <c r="F34" i="1" s="1"/>
  <c r="E36" i="1" l="1"/>
  <c r="B37" i="1"/>
  <c r="C37" i="1" s="1"/>
  <c r="D35" i="1"/>
  <c r="F35" i="1" s="1"/>
  <c r="E37" i="1" l="1"/>
  <c r="B38" i="1"/>
  <c r="C38" i="1" s="1"/>
  <c r="D36" i="1"/>
  <c r="F36" i="1" s="1"/>
  <c r="D37" i="1" l="1"/>
  <c r="F37" i="1" s="1"/>
  <c r="E38" i="1"/>
  <c r="B39" i="1"/>
  <c r="C39" i="1" s="1"/>
  <c r="B40" i="1" l="1"/>
  <c r="C40" i="1" s="1"/>
  <c r="E39" i="1"/>
  <c r="D38" i="1"/>
  <c r="F38" i="1" s="1"/>
  <c r="E40" i="1" l="1"/>
  <c r="B41" i="1"/>
  <c r="C41" i="1" s="1"/>
  <c r="D39" i="1"/>
  <c r="F39" i="1" s="1"/>
  <c r="E41" i="1" l="1"/>
  <c r="B42" i="1"/>
  <c r="C42" i="1" s="1"/>
  <c r="D40" i="1"/>
  <c r="F40" i="1" s="1"/>
  <c r="D41" i="1" l="1"/>
  <c r="F41" i="1" s="1"/>
  <c r="E42" i="1"/>
  <c r="D42" i="1" l="1"/>
  <c r="F42" i="1" s="1"/>
</calcChain>
</file>

<file path=xl/sharedStrings.xml><?xml version="1.0" encoding="utf-8"?>
<sst xmlns="http://schemas.openxmlformats.org/spreadsheetml/2006/main" count="27" uniqueCount="22">
  <si>
    <t>Compressive</t>
  </si>
  <si>
    <t>Strain</t>
  </si>
  <si>
    <t>Inelastic Strain</t>
  </si>
  <si>
    <t>Yield Stress</t>
  </si>
  <si>
    <t>Damage Parameter</t>
  </si>
  <si>
    <t>0.5*C</t>
  </si>
  <si>
    <t>C</t>
  </si>
  <si>
    <t>A</t>
  </si>
  <si>
    <t>B</t>
  </si>
  <si>
    <t>X1</t>
  </si>
  <si>
    <t>X2</t>
  </si>
  <si>
    <t>Quadratic Equation</t>
  </si>
  <si>
    <t>E (Mpa)</t>
  </si>
  <si>
    <t>Tensile</t>
  </si>
  <si>
    <t>Compressive Strength (Mpa)</t>
  </si>
  <si>
    <t>Cracking Strain</t>
  </si>
  <si>
    <t>Usable:</t>
  </si>
  <si>
    <t>Mohammad Sajednia</t>
  </si>
  <si>
    <t>e_u</t>
  </si>
  <si>
    <t>ε0 (yield strain)</t>
  </si>
  <si>
    <t>εu (ultimate strain)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</si>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</sst>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22"/>
      <color theme="7" tint="0.7999816888943144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0" fontId="2" fillId="6" borderId="8" xfId="0" applyFont="1" applyFill="1" applyBorder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locked="0" hidden="1"/>
    </xf>
    <xf numFmtId="0" fontId="1" fillId="7" borderId="1" xfId="0" applyFont="1" applyFill="1" applyBorder="1" applyAlignment="1" applyProtection="1">
      <alignment horizontal="center" vertical="center"/>
      <protection locked="0" hidden="1"/>
    </xf>
    <xf numFmtId="0" fontId="1" fillId="7" borderId="8" xfId="0" applyFont="1" applyFill="1" applyBorder="1" applyAlignment="1" applyProtection="1">
      <alignment horizontal="center" vertical="center"/>
      <protection locked="0" hidden="1"/>
    </xf>
    <xf numFmtId="0" fontId="1" fillId="2" borderId="10" xfId="0" applyFont="1" applyFill="1" applyBorder="1" applyAlignment="1" applyProtection="1">
      <alignment horizontal="center" vertical="center"/>
      <protection locked="0" hidden="1"/>
    </xf>
    <xf numFmtId="0" fontId="1" fillId="7" borderId="10" xfId="0" applyFont="1" applyFill="1" applyBorder="1" applyAlignment="1" applyProtection="1">
      <alignment horizontal="center" vertical="center"/>
      <protection locked="0" hidden="1"/>
    </xf>
    <xf numFmtId="0" fontId="1" fillId="7" borderId="11" xfId="0" applyFont="1" applyFill="1" applyBorder="1" applyAlignment="1" applyProtection="1">
      <alignment horizontal="center" vertical="center"/>
      <protection locked="0" hidden="1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  <protection hidden="1"/>
    </xf>
    <xf numFmtId="0" fontId="2" fillId="4" borderId="5" xfId="0" applyFont="1" applyFill="1" applyBorder="1" applyAlignment="1" applyProtection="1">
      <alignment horizontal="center" vertical="center"/>
      <protection hidden="1"/>
    </xf>
    <xf numFmtId="0" fontId="2" fillId="4" borderId="6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2" fillId="4" borderId="16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3" borderId="1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200" baseline="0">
                <a:ln>
                  <a:noFill/>
                </a:ln>
                <a:solidFill>
                  <a:schemeClr val="tx1"/>
                </a:solidFill>
              </a:rPr>
              <a:t>Compressive behavior of the concrete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Elastic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(CDP!$B$5,CDP!$B$8)</c:f>
              <c:numCache>
                <c:formatCode>General</c:formatCode>
                <c:ptCount val="2"/>
                <c:pt idx="0">
                  <c:v>0</c:v>
                </c:pt>
                <c:pt idx="1">
                  <c:v>5.8578643762690491E-4</c:v>
                </c:pt>
              </c:numCache>
            </c:numRef>
          </c:xVal>
          <c:yVal>
            <c:numRef>
              <c:f>(CDP!$B$5,CDP!$C$8)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2C-454B-BA0A-F7477D774F20}"/>
            </c:ext>
          </c:extLst>
        </c:ser>
        <c:ser>
          <c:idx val="0"/>
          <c:order val="1"/>
          <c:tx>
            <c:v>Inelastic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CDP!$B$8:$B$43</c:f>
              <c:numCache>
                <c:formatCode>General</c:formatCode>
                <c:ptCount val="36"/>
                <c:pt idx="0">
                  <c:v>5.8578643762690491E-4</c:v>
                </c:pt>
                <c:pt idx="1">
                  <c:v>6.5835921350012607E-4</c:v>
                </c:pt>
                <c:pt idx="2">
                  <c:v>7.3508893593264818E-4</c:v>
                </c:pt>
                <c:pt idx="3">
                  <c:v>8.1678404338007685E-4</c:v>
                </c:pt>
                <c:pt idx="4">
                  <c:v>9.0455488498966772E-4</c:v>
                </c:pt>
                <c:pt idx="5">
                  <c:v>1E-3</c:v>
                </c:pt>
                <c:pt idx="6">
                  <c:v>1.1055728090000841E-3</c:v>
                </c:pt>
                <c:pt idx="7">
                  <c:v>1.2254033307585166E-3</c:v>
                </c:pt>
                <c:pt idx="8">
                  <c:v>1.3675444679663242E-3</c:v>
                </c:pt>
                <c:pt idx="9">
                  <c:v>1.552786404500042E-3</c:v>
                </c:pt>
                <c:pt idx="10">
                  <c:v>1.6837722339831621E-3</c:v>
                </c:pt>
                <c:pt idx="11">
                  <c:v>1.7171572875253811E-3</c:v>
                </c:pt>
                <c:pt idx="12">
                  <c:v>1.7550510257216823E-3</c:v>
                </c:pt>
                <c:pt idx="13">
                  <c:v>1.8E-3</c:v>
                </c:pt>
                <c:pt idx="14">
                  <c:v>1.8585786437626906E-3</c:v>
                </c:pt>
                <c:pt idx="15">
                  <c:v>2E-3</c:v>
                </c:pt>
                <c:pt idx="16">
                  <c:v>2.0899999999999998E-3</c:v>
                </c:pt>
                <c:pt idx="17">
                  <c:v>2.1799999999999996E-3</c:v>
                </c:pt>
                <c:pt idx="18">
                  <c:v>2.2699999999999994E-3</c:v>
                </c:pt>
                <c:pt idx="19">
                  <c:v>2.3599999999999993E-3</c:v>
                </c:pt>
                <c:pt idx="20">
                  <c:v>2.4499999999999991E-3</c:v>
                </c:pt>
                <c:pt idx="21">
                  <c:v>2.5399999999999989E-3</c:v>
                </c:pt>
                <c:pt idx="22">
                  <c:v>2.6299999999999987E-3</c:v>
                </c:pt>
                <c:pt idx="23">
                  <c:v>2.7199999999999985E-3</c:v>
                </c:pt>
                <c:pt idx="24">
                  <c:v>2.8099999999999983E-3</c:v>
                </c:pt>
                <c:pt idx="25">
                  <c:v>2.8999999999999981E-3</c:v>
                </c:pt>
                <c:pt idx="26">
                  <c:v>2.9899999999999979E-3</c:v>
                </c:pt>
                <c:pt idx="27">
                  <c:v>3.0799999999999977E-3</c:v>
                </c:pt>
                <c:pt idx="28">
                  <c:v>3.1699999999999975E-3</c:v>
                </c:pt>
                <c:pt idx="29">
                  <c:v>3.2599999999999973E-3</c:v>
                </c:pt>
                <c:pt idx="30">
                  <c:v>3.3499999999999971E-3</c:v>
                </c:pt>
                <c:pt idx="31">
                  <c:v>3.4399999999999969E-3</c:v>
                </c:pt>
                <c:pt idx="32">
                  <c:v>3.5299999999999967E-3</c:v>
                </c:pt>
                <c:pt idx="33">
                  <c:v>3.6199999999999965E-3</c:v>
                </c:pt>
                <c:pt idx="34">
                  <c:v>3.7099999999999963E-3</c:v>
                </c:pt>
                <c:pt idx="35">
                  <c:v>3.8E-3</c:v>
                </c:pt>
              </c:numCache>
            </c:numRef>
          </c:xVal>
          <c:yVal>
            <c:numRef>
              <c:f>CDP!$C$8:$C$43</c:f>
              <c:numCache>
                <c:formatCode>General</c:formatCode>
                <c:ptCount val="36"/>
                <c:pt idx="0">
                  <c:v>15</c:v>
                </c:pt>
                <c:pt idx="1">
                  <c:v>16.5</c:v>
                </c:pt>
                <c:pt idx="2">
                  <c:v>18</c:v>
                </c:pt>
                <c:pt idx="3">
                  <c:v>19.5</c:v>
                </c:pt>
                <c:pt idx="4">
                  <c:v>21</c:v>
                </c:pt>
                <c:pt idx="5">
                  <c:v>22.5</c:v>
                </c:pt>
                <c:pt idx="6">
                  <c:v>24</c:v>
                </c:pt>
                <c:pt idx="7">
                  <c:v>25.5</c:v>
                </c:pt>
                <c:pt idx="8">
                  <c:v>27</c:v>
                </c:pt>
                <c:pt idx="9">
                  <c:v>28.5</c:v>
                </c:pt>
                <c:pt idx="10">
                  <c:v>29.25</c:v>
                </c:pt>
                <c:pt idx="11">
                  <c:v>29.4</c:v>
                </c:pt>
                <c:pt idx="12">
                  <c:v>29.55</c:v>
                </c:pt>
                <c:pt idx="13">
                  <c:v>29.7</c:v>
                </c:pt>
                <c:pt idx="14">
                  <c:v>29.85</c:v>
                </c:pt>
                <c:pt idx="15">
                  <c:v>30</c:v>
                </c:pt>
                <c:pt idx="16">
                  <c:v>28.8</c:v>
                </c:pt>
                <c:pt idx="17">
                  <c:v>27.600000000000005</c:v>
                </c:pt>
                <c:pt idx="18">
                  <c:v>26.400000000000006</c:v>
                </c:pt>
                <c:pt idx="19">
                  <c:v>25.20000000000001</c:v>
                </c:pt>
                <c:pt idx="20">
                  <c:v>24.000000000000014</c:v>
                </c:pt>
                <c:pt idx="21">
                  <c:v>22.800000000000015</c:v>
                </c:pt>
                <c:pt idx="22">
                  <c:v>21.600000000000019</c:v>
                </c:pt>
                <c:pt idx="23">
                  <c:v>20.40000000000002</c:v>
                </c:pt>
                <c:pt idx="24">
                  <c:v>19.200000000000024</c:v>
                </c:pt>
                <c:pt idx="25">
                  <c:v>18.000000000000025</c:v>
                </c:pt>
                <c:pt idx="26">
                  <c:v>16.800000000000029</c:v>
                </c:pt>
                <c:pt idx="27">
                  <c:v>15.60000000000003</c:v>
                </c:pt>
                <c:pt idx="28">
                  <c:v>14.400000000000032</c:v>
                </c:pt>
                <c:pt idx="29">
                  <c:v>13.200000000000035</c:v>
                </c:pt>
                <c:pt idx="30">
                  <c:v>12.000000000000041</c:v>
                </c:pt>
                <c:pt idx="31">
                  <c:v>10.800000000000043</c:v>
                </c:pt>
                <c:pt idx="32">
                  <c:v>9.6000000000000423</c:v>
                </c:pt>
                <c:pt idx="33">
                  <c:v>8.4000000000000448</c:v>
                </c:pt>
                <c:pt idx="34">
                  <c:v>7.2000000000000499</c:v>
                </c:pt>
                <c:pt idx="35">
                  <c:v>5.9999999999999982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2C-454B-BA0A-F7477D774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455704"/>
        <c:axId val="686456424"/>
      </c:scatterChart>
      <c:valAx>
        <c:axId val="68645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56424"/>
        <c:crosses val="autoZero"/>
        <c:crossBetween val="midCat"/>
      </c:valAx>
      <c:valAx>
        <c:axId val="68645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55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aseline="0"/>
              <a:t>Tensile behavior of the concrete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Inelastic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CDP!$L$8:$L$11</c:f>
              <c:numCache>
                <c:formatCode>General</c:formatCode>
                <c:ptCount val="4"/>
                <c:pt idx="0">
                  <c:v>1.0381218542917427E-4</c:v>
                </c:pt>
                <c:pt idx="1">
                  <c:v>3.1143655628752278E-4</c:v>
                </c:pt>
                <c:pt idx="2">
                  <c:v>6.0989658939639884E-4</c:v>
                </c:pt>
                <c:pt idx="3">
                  <c:v>1.0900279470063298E-3</c:v>
                </c:pt>
              </c:numCache>
            </c:numRef>
          </c:xVal>
          <c:yVal>
            <c:numRef>
              <c:f>CDP!$M$8:$M$11</c:f>
              <c:numCache>
                <c:formatCode>General</c:formatCode>
                <c:ptCount val="4"/>
                <c:pt idx="0">
                  <c:v>2.67243295806299</c:v>
                </c:pt>
                <c:pt idx="1">
                  <c:v>1.7816219720419932</c:v>
                </c:pt>
                <c:pt idx="2">
                  <c:v>1.0021623592736213</c:v>
                </c:pt>
                <c:pt idx="3">
                  <c:v>0.44540549301049831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3-4E51-B637-54E9BAE226C2}"/>
            </c:ext>
          </c:extLst>
        </c:ser>
        <c:ser>
          <c:idx val="1"/>
          <c:order val="1"/>
          <c:tx>
            <c:v>Elastic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(CDP!$B$5,CDP!$L$8)</c:f>
              <c:numCache>
                <c:formatCode>General</c:formatCode>
                <c:ptCount val="2"/>
                <c:pt idx="0">
                  <c:v>0</c:v>
                </c:pt>
                <c:pt idx="1">
                  <c:v>1.0381218542917427E-4</c:v>
                </c:pt>
              </c:numCache>
            </c:numRef>
          </c:xVal>
          <c:yVal>
            <c:numRef>
              <c:f>(CDP!$B$5,CDP!$M$8)</c:f>
              <c:numCache>
                <c:formatCode>General</c:formatCode>
                <c:ptCount val="2"/>
                <c:pt idx="0">
                  <c:v>0</c:v>
                </c:pt>
                <c:pt idx="1">
                  <c:v>2.67243295806299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F3-4E51-B637-54E9BAE22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499416"/>
        <c:axId val="728496896"/>
      </c:scatterChart>
      <c:valAx>
        <c:axId val="72849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96896"/>
        <c:crosses val="autoZero"/>
        <c:crossBetween val="midCat"/>
      </c:valAx>
      <c:valAx>
        <c:axId val="72849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9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263337</xdr:colOff>
      <xdr:row>23</xdr:row>
      <xdr:rowOff>225236</xdr:rowOff>
    </xdr:from>
    <xdr:to>
      <xdr:col>11</xdr:col>
      <xdr:colOff>414617</xdr:colOff>
      <xdr:row>42</xdr:row>
      <xdr:rowOff>280145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76F65-EACE-3CDF-6CEF-C0E0A3667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806824</xdr:colOff>
      <xdr:row>23</xdr:row>
      <xdr:rowOff>224117</xdr:rowOff>
    </xdr:from>
    <xdr:to>
      <xdr:col>16</xdr:col>
      <xdr:colOff>907676</xdr:colOff>
      <xdr:row>42</xdr:row>
      <xdr:rowOff>280146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52B1C2-DA3C-A763-3AD2-6C3AD3D93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242"/>
  <sheetViews>
    <sheetView tabSelected="1" zoomScale="85" zoomScaleNormal="85" workbookViewId="0">
      <selection activeCell="D3" sqref="D3:D4"/>
    </sheetView>
  </sheetViews>
  <sheetFormatPr defaultRowHeight="15.75" x14ac:dyDescent="0.25"/>
  <cols>
    <col min="1" max="1" width="9.140625" style="1"/>
    <col min="2" max="16" width="20.28515625" style="2" customWidth="1"/>
    <col min="17" max="24" width="17.5703125" style="2" customWidth="1"/>
    <col min="25" max="26" width="10.85546875" style="2" customWidth="1"/>
    <col min="27" max="43" width="9.140625" style="2"/>
  </cols>
  <sheetData>
    <row r="2" spans="1:16" ht="21.75" customHeight="1" thickBot="1" x14ac:dyDescent="0.3"/>
    <row r="3" spans="1:16" ht="21.75" customHeight="1" x14ac:dyDescent="0.25">
      <c r="B3" s="28" t="s">
        <v>14</v>
      </c>
      <c r="C3" s="28"/>
      <c r="D3" s="22">
        <v>30</v>
      </c>
      <c r="E3" s="24" t="s">
        <v>19</v>
      </c>
      <c r="F3" s="29">
        <v>2E-3</v>
      </c>
      <c r="G3" s="26" t="s">
        <v>12</v>
      </c>
      <c r="H3" s="33">
        <f>4700*SQRT(D3)</f>
        <v>25742.960202742808</v>
      </c>
      <c r="J3" s="34" t="s">
        <v>17</v>
      </c>
      <c r="K3" s="35"/>
      <c r="L3" s="36"/>
    </row>
    <row r="4" spans="1:16" ht="21.75" customHeight="1" thickBot="1" x14ac:dyDescent="0.3">
      <c r="B4" s="28"/>
      <c r="C4" s="28"/>
      <c r="D4" s="23"/>
      <c r="E4" s="25"/>
      <c r="F4" s="29"/>
      <c r="G4" s="27"/>
      <c r="H4" s="33"/>
      <c r="J4" s="37"/>
      <c r="K4" s="38"/>
      <c r="L4" s="39"/>
    </row>
    <row r="5" spans="1:16" ht="43.5" customHeight="1" thickBot="1" x14ac:dyDescent="0.3">
      <c r="B5" s="2">
        <v>0</v>
      </c>
      <c r="E5" s="16" t="s">
        <v>20</v>
      </c>
      <c r="F5" s="17">
        <v>3.8E-3</v>
      </c>
      <c r="G5" s="18" t="s">
        <v>16</v>
      </c>
      <c r="H5" s="18">
        <f>C8/B8</f>
        <v>25606.601717798214</v>
      </c>
    </row>
    <row r="6" spans="1:16" ht="35.25" customHeight="1" x14ac:dyDescent="0.25">
      <c r="A6" s="3"/>
      <c r="B6" s="19" t="s">
        <v>0</v>
      </c>
      <c r="C6" s="20"/>
      <c r="D6" s="20"/>
      <c r="E6" s="30"/>
      <c r="F6" s="31"/>
      <c r="G6" s="32" t="s">
        <v>11</v>
      </c>
      <c r="H6" s="32"/>
      <c r="I6" s="32"/>
      <c r="J6" s="32"/>
      <c r="K6" s="32"/>
      <c r="L6" s="19" t="s">
        <v>13</v>
      </c>
      <c r="M6" s="20"/>
      <c r="N6" s="20"/>
      <c r="O6" s="20"/>
      <c r="P6" s="21"/>
    </row>
    <row r="7" spans="1:16" ht="28.5" customHeight="1" x14ac:dyDescent="0.25">
      <c r="A7" s="3"/>
      <c r="B7" s="5" t="s">
        <v>1</v>
      </c>
      <c r="C7" s="6" t="s">
        <v>3</v>
      </c>
      <c r="D7" s="6" t="s">
        <v>2</v>
      </c>
      <c r="E7" s="7" t="s">
        <v>4</v>
      </c>
      <c r="F7" s="8" t="s">
        <v>2</v>
      </c>
      <c r="G7" s="4" t="s">
        <v>7</v>
      </c>
      <c r="H7" s="4" t="s">
        <v>8</v>
      </c>
      <c r="I7" s="4" t="s">
        <v>6</v>
      </c>
      <c r="J7" s="4" t="s">
        <v>9</v>
      </c>
      <c r="K7" s="4" t="s">
        <v>10</v>
      </c>
      <c r="L7" s="5" t="s">
        <v>1</v>
      </c>
      <c r="M7" s="6" t="s">
        <v>3</v>
      </c>
      <c r="N7" s="6" t="s">
        <v>15</v>
      </c>
      <c r="O7" s="7" t="s">
        <v>4</v>
      </c>
      <c r="P7" s="8" t="s">
        <v>15</v>
      </c>
    </row>
    <row r="8" spans="1:16" ht="21.75" customHeight="1" x14ac:dyDescent="0.25">
      <c r="A8" s="3" t="s">
        <v>5</v>
      </c>
      <c r="B8" s="5">
        <f>MIN(J8:K8)</f>
        <v>5.8578643762690491E-4</v>
      </c>
      <c r="C8" s="10">
        <f>0.5*D3</f>
        <v>15</v>
      </c>
      <c r="D8" s="10">
        <f>B8-C8/$H$5</f>
        <v>0</v>
      </c>
      <c r="E8" s="11">
        <v>0</v>
      </c>
      <c r="F8" s="12">
        <f>D8</f>
        <v>0</v>
      </c>
      <c r="G8" s="4">
        <f>1/$F$3^2</f>
        <v>250000</v>
      </c>
      <c r="H8" s="4">
        <f>-2/$F$3</f>
        <v>-1000</v>
      </c>
      <c r="I8" s="4">
        <f>C8/$D$3</f>
        <v>0.5</v>
      </c>
      <c r="J8" s="4">
        <f>(-H8+SQRT(H8^2-4*G8*I8))/(2*G8)</f>
        <v>3.4142135623730953E-3</v>
      </c>
      <c r="K8" s="4">
        <f>(-H8-SQRT(H8^2-4*G8*I8))/(2*G8)</f>
        <v>5.8578643762690491E-4</v>
      </c>
      <c r="L8" s="5">
        <f>M8/$H$3</f>
        <v>1.0381218542917427E-4</v>
      </c>
      <c r="M8" s="10">
        <f>0.47*($D$3)^0.511</f>
        <v>2.67243295806299</v>
      </c>
      <c r="N8" s="10">
        <f>L8-M8/$H$3</f>
        <v>0</v>
      </c>
      <c r="O8" s="11">
        <f>1-(M8/$M$8)</f>
        <v>0</v>
      </c>
      <c r="P8" s="12">
        <f>N8</f>
        <v>0</v>
      </c>
    </row>
    <row r="9" spans="1:16" ht="21.75" customHeight="1" x14ac:dyDescent="0.25">
      <c r="A9" s="3"/>
      <c r="B9" s="5">
        <f t="shared" ref="B9:B23" si="0">MIN(J9:K9)</f>
        <v>6.5835921350012607E-4</v>
      </c>
      <c r="C9" s="10">
        <f>C8*1.1</f>
        <v>16.5</v>
      </c>
      <c r="D9" s="10">
        <f t="shared" ref="D9:D43" si="1">B9-C9/$H$5</f>
        <v>1.399413211053066E-5</v>
      </c>
      <c r="E9" s="11">
        <v>0</v>
      </c>
      <c r="F9" s="12">
        <f t="shared" ref="F9:F37" si="2">D9</f>
        <v>1.399413211053066E-5</v>
      </c>
      <c r="G9" s="4">
        <f t="shared" ref="G9:G23" si="3">1/$F$3^2</f>
        <v>250000</v>
      </c>
      <c r="H9" s="4">
        <f t="shared" ref="H9:H23" si="4">-2/$F$3</f>
        <v>-1000</v>
      </c>
      <c r="I9" s="4">
        <f t="shared" ref="I9:I23" si="5">C9/$D$3</f>
        <v>0.55000000000000004</v>
      </c>
      <c r="J9" s="4">
        <f t="shared" ref="J9:J23" si="6">(-H9+SQRT(H9^2-4*G9*I9))/(2*G9)</f>
        <v>3.3416407864998738E-3</v>
      </c>
      <c r="K9" s="4">
        <f t="shared" ref="K9:K23" si="7">(-H9-SQRT(H9^2-4*G9*I9))/(2*G9)</f>
        <v>6.5835921350012607E-4</v>
      </c>
      <c r="L9" s="5">
        <f>3*L8</f>
        <v>3.1143655628752278E-4</v>
      </c>
      <c r="M9" s="10">
        <f>2*M8/3</f>
        <v>1.7816219720419932</v>
      </c>
      <c r="N9" s="10">
        <f t="shared" ref="N9:N11" si="8">L9-M9/$H$3</f>
        <v>2.4222843266807328E-4</v>
      </c>
      <c r="O9" s="11">
        <f t="shared" ref="O9:O11" si="9">1-(M9/$M$8)</f>
        <v>0.33333333333333337</v>
      </c>
      <c r="P9" s="12">
        <f t="shared" ref="P9:P11" si="10">N9</f>
        <v>2.4222843266807328E-4</v>
      </c>
    </row>
    <row r="10" spans="1:16" ht="21.75" customHeight="1" x14ac:dyDescent="0.25">
      <c r="A10" s="3"/>
      <c r="B10" s="5">
        <f t="shared" si="0"/>
        <v>7.3508893593264818E-4</v>
      </c>
      <c r="C10" s="10">
        <f>C8*1.2</f>
        <v>18</v>
      </c>
      <c r="D10" s="10">
        <f t="shared" si="1"/>
        <v>3.2145210780362265E-5</v>
      </c>
      <c r="E10" s="11">
        <v>0</v>
      </c>
      <c r="F10" s="12">
        <f t="shared" si="2"/>
        <v>3.2145210780362265E-5</v>
      </c>
      <c r="G10" s="4">
        <f t="shared" si="3"/>
        <v>250000</v>
      </c>
      <c r="H10" s="4">
        <f t="shared" si="4"/>
        <v>-1000</v>
      </c>
      <c r="I10" s="4">
        <f t="shared" si="5"/>
        <v>0.6</v>
      </c>
      <c r="J10" s="4">
        <f t="shared" si="6"/>
        <v>3.2649110640673518E-3</v>
      </c>
      <c r="K10" s="4">
        <f t="shared" si="7"/>
        <v>7.3508893593264818E-4</v>
      </c>
      <c r="L10" s="5">
        <f>5.875*L8</f>
        <v>6.0989658939639884E-4</v>
      </c>
      <c r="M10" s="10">
        <f>3*M8/8</f>
        <v>1.0021623592736213</v>
      </c>
      <c r="N10" s="10">
        <f t="shared" si="8"/>
        <v>5.7096701986045846E-4</v>
      </c>
      <c r="O10" s="11">
        <f t="shared" si="9"/>
        <v>0.625</v>
      </c>
      <c r="P10" s="12">
        <f t="shared" si="10"/>
        <v>5.7096701986045846E-4</v>
      </c>
    </row>
    <row r="11" spans="1:16" ht="21.75" customHeight="1" thickBot="1" x14ac:dyDescent="0.3">
      <c r="A11" s="3"/>
      <c r="B11" s="5">
        <f t="shared" si="0"/>
        <v>8.1678404338007685E-4</v>
      </c>
      <c r="C11" s="10">
        <f>C8*1.3</f>
        <v>19.5</v>
      </c>
      <c r="D11" s="10">
        <f t="shared" si="1"/>
        <v>5.526167446510044E-5</v>
      </c>
      <c r="E11" s="11">
        <v>0</v>
      </c>
      <c r="F11" s="12">
        <f t="shared" si="2"/>
        <v>5.526167446510044E-5</v>
      </c>
      <c r="G11" s="4">
        <f t="shared" si="3"/>
        <v>250000</v>
      </c>
      <c r="H11" s="4">
        <f t="shared" si="4"/>
        <v>-1000</v>
      </c>
      <c r="I11" s="4">
        <f t="shared" si="5"/>
        <v>0.65</v>
      </c>
      <c r="J11" s="4">
        <f t="shared" si="6"/>
        <v>3.1832159566199236E-3</v>
      </c>
      <c r="K11" s="4">
        <f t="shared" si="7"/>
        <v>8.1678404338007685E-4</v>
      </c>
      <c r="L11" s="9">
        <f>10.5*L8</f>
        <v>1.0900279470063298E-3</v>
      </c>
      <c r="M11" s="13">
        <f>M8/6</f>
        <v>0.44540549301049831</v>
      </c>
      <c r="N11" s="10">
        <f t="shared" si="8"/>
        <v>1.0727259161014675E-3</v>
      </c>
      <c r="O11" s="14">
        <f t="shared" si="9"/>
        <v>0.83333333333333337</v>
      </c>
      <c r="P11" s="15">
        <f t="shared" si="10"/>
        <v>1.0727259161014675E-3</v>
      </c>
    </row>
    <row r="12" spans="1:16" ht="21.75" customHeight="1" x14ac:dyDescent="0.25">
      <c r="A12" s="3"/>
      <c r="B12" s="5">
        <f t="shared" si="0"/>
        <v>9.0455488498966772E-4</v>
      </c>
      <c r="C12" s="10">
        <f>C8*1.4</f>
        <v>21</v>
      </c>
      <c r="D12" s="10">
        <f t="shared" si="1"/>
        <v>8.4453872312000803E-5</v>
      </c>
      <c r="E12" s="11">
        <v>0</v>
      </c>
      <c r="F12" s="12">
        <f t="shared" si="2"/>
        <v>8.4453872312000803E-5</v>
      </c>
      <c r="G12" s="4">
        <f t="shared" si="3"/>
        <v>250000</v>
      </c>
      <c r="H12" s="4">
        <f t="shared" si="4"/>
        <v>-1000</v>
      </c>
      <c r="I12" s="4">
        <f t="shared" si="5"/>
        <v>0.7</v>
      </c>
      <c r="J12" s="4">
        <f t="shared" si="6"/>
        <v>3.0954451150103325E-3</v>
      </c>
      <c r="K12" s="4">
        <f t="shared" si="7"/>
        <v>9.0455488498966772E-4</v>
      </c>
      <c r="L12" s="4"/>
      <c r="M12" s="4"/>
      <c r="N12" s="4"/>
      <c r="O12" s="4"/>
      <c r="P12" s="4"/>
    </row>
    <row r="13" spans="1:16" ht="21.75" customHeight="1" x14ac:dyDescent="0.25">
      <c r="A13" s="3"/>
      <c r="B13" s="5">
        <f t="shared" si="0"/>
        <v>1E-3</v>
      </c>
      <c r="C13" s="10">
        <f>C8*1.5</f>
        <v>22.5</v>
      </c>
      <c r="D13" s="10">
        <f t="shared" si="1"/>
        <v>1.2132034355964261E-4</v>
      </c>
      <c r="E13" s="11">
        <v>0</v>
      </c>
      <c r="F13" s="12">
        <f t="shared" si="2"/>
        <v>1.2132034355964261E-4</v>
      </c>
      <c r="G13" s="4">
        <f t="shared" si="3"/>
        <v>250000</v>
      </c>
      <c r="H13" s="4">
        <f t="shared" si="4"/>
        <v>-1000</v>
      </c>
      <c r="I13" s="4">
        <f t="shared" si="5"/>
        <v>0.75</v>
      </c>
      <c r="J13" s="4">
        <f t="shared" si="6"/>
        <v>3.0000000000000001E-3</v>
      </c>
      <c r="K13" s="4">
        <f t="shared" si="7"/>
        <v>1E-3</v>
      </c>
      <c r="L13" s="4"/>
      <c r="M13" s="4"/>
      <c r="N13" s="4"/>
      <c r="O13" s="4"/>
      <c r="P13" s="4"/>
    </row>
    <row r="14" spans="1:16" ht="21.75" customHeight="1" x14ac:dyDescent="0.25">
      <c r="A14" s="3"/>
      <c r="B14" s="5">
        <f t="shared" si="0"/>
        <v>1.1055728090000841E-3</v>
      </c>
      <c r="C14" s="10">
        <f>C8*1.6</f>
        <v>24</v>
      </c>
      <c r="D14" s="10">
        <f t="shared" si="1"/>
        <v>1.6831450879703622E-4</v>
      </c>
      <c r="E14" s="11">
        <v>0</v>
      </c>
      <c r="F14" s="12">
        <f t="shared" si="2"/>
        <v>1.6831450879703622E-4</v>
      </c>
      <c r="G14" s="4">
        <f t="shared" si="3"/>
        <v>250000</v>
      </c>
      <c r="H14" s="4">
        <f t="shared" si="4"/>
        <v>-1000</v>
      </c>
      <c r="I14" s="4">
        <f t="shared" si="5"/>
        <v>0.8</v>
      </c>
      <c r="J14" s="4">
        <f t="shared" si="6"/>
        <v>2.8944271909999162E-3</v>
      </c>
      <c r="K14" s="4">
        <f t="shared" si="7"/>
        <v>1.1055728090000841E-3</v>
      </c>
      <c r="L14" s="4"/>
      <c r="M14" s="4"/>
      <c r="N14" s="4"/>
      <c r="O14" s="4"/>
      <c r="P14" s="4"/>
    </row>
    <row r="15" spans="1:16" ht="21.75" customHeight="1" x14ac:dyDescent="0.25">
      <c r="A15" s="3"/>
      <c r="B15" s="5">
        <f t="shared" si="0"/>
        <v>1.2254033307585166E-3</v>
      </c>
      <c r="C15" s="10">
        <f>C8*1.7</f>
        <v>25.5</v>
      </c>
      <c r="D15" s="10">
        <f t="shared" si="1"/>
        <v>2.295663867927782E-4</v>
      </c>
      <c r="E15" s="11">
        <v>0</v>
      </c>
      <c r="F15" s="12">
        <f t="shared" si="2"/>
        <v>2.295663867927782E-4</v>
      </c>
      <c r="G15" s="4">
        <f t="shared" si="3"/>
        <v>250000</v>
      </c>
      <c r="H15" s="4">
        <f t="shared" si="4"/>
        <v>-1000</v>
      </c>
      <c r="I15" s="4">
        <f t="shared" si="5"/>
        <v>0.85</v>
      </c>
      <c r="J15" s="4">
        <f t="shared" si="6"/>
        <v>2.7745966692414832E-3</v>
      </c>
      <c r="K15" s="4">
        <f t="shared" si="7"/>
        <v>1.2254033307585166E-3</v>
      </c>
      <c r="L15" s="4"/>
      <c r="M15" s="4"/>
      <c r="N15" s="4"/>
      <c r="O15" s="4"/>
      <c r="P15" s="4"/>
    </row>
    <row r="16" spans="1:16" ht="21.75" customHeight="1" x14ac:dyDescent="0.25">
      <c r="A16" s="3"/>
      <c r="B16" s="5">
        <f t="shared" si="0"/>
        <v>1.3675444679663242E-3</v>
      </c>
      <c r="C16" s="10">
        <f>C8*1.8</f>
        <v>27</v>
      </c>
      <c r="D16" s="10">
        <f t="shared" si="1"/>
        <v>3.1312888023789535E-4</v>
      </c>
      <c r="E16" s="11">
        <v>0</v>
      </c>
      <c r="F16" s="12">
        <f t="shared" si="2"/>
        <v>3.1312888023789535E-4</v>
      </c>
      <c r="G16" s="4">
        <f t="shared" si="3"/>
        <v>250000</v>
      </c>
      <c r="H16" s="4">
        <f t="shared" si="4"/>
        <v>-1000</v>
      </c>
      <c r="I16" s="4">
        <f t="shared" si="5"/>
        <v>0.9</v>
      </c>
      <c r="J16" s="4">
        <f t="shared" si="6"/>
        <v>2.6324555320336759E-3</v>
      </c>
      <c r="K16" s="4">
        <f t="shared" si="7"/>
        <v>1.3675444679663242E-3</v>
      </c>
      <c r="L16" s="4"/>
      <c r="M16" s="4"/>
      <c r="N16" s="4"/>
      <c r="O16" s="4"/>
      <c r="P16" s="4"/>
    </row>
    <row r="17" spans="1:16" ht="21.75" customHeight="1" x14ac:dyDescent="0.25">
      <c r="A17" s="3"/>
      <c r="B17" s="5">
        <f t="shared" si="0"/>
        <v>1.552786404500042E-3</v>
      </c>
      <c r="C17" s="10">
        <f>C8*1.9</f>
        <v>28.5</v>
      </c>
      <c r="D17" s="10">
        <f t="shared" si="1"/>
        <v>4.3979217300892256E-4</v>
      </c>
      <c r="E17" s="11">
        <v>0</v>
      </c>
      <c r="F17" s="12">
        <f t="shared" si="2"/>
        <v>4.3979217300892256E-4</v>
      </c>
      <c r="G17" s="4">
        <f t="shared" si="3"/>
        <v>250000</v>
      </c>
      <c r="H17" s="4">
        <f t="shared" si="4"/>
        <v>-1000</v>
      </c>
      <c r="I17" s="4">
        <f t="shared" si="5"/>
        <v>0.95</v>
      </c>
      <c r="J17" s="4">
        <f t="shared" si="6"/>
        <v>2.4472135954999581E-3</v>
      </c>
      <c r="K17" s="4">
        <f t="shared" si="7"/>
        <v>1.552786404500042E-3</v>
      </c>
      <c r="L17" s="4"/>
      <c r="M17" s="4"/>
      <c r="N17" s="4"/>
      <c r="O17" s="4"/>
      <c r="P17" s="4"/>
    </row>
    <row r="18" spans="1:16" ht="21.75" customHeight="1" x14ac:dyDescent="0.25">
      <c r="A18" s="3"/>
      <c r="B18" s="5">
        <f t="shared" si="0"/>
        <v>1.6837722339831621E-3</v>
      </c>
      <c r="C18" s="10">
        <f>C8*1.95</f>
        <v>29.25</v>
      </c>
      <c r="D18" s="10">
        <f t="shared" si="1"/>
        <v>5.4148868061069748E-4</v>
      </c>
      <c r="E18" s="11">
        <v>0</v>
      </c>
      <c r="F18" s="12">
        <f t="shared" ref="F18" si="11">D18</f>
        <v>5.4148868061069748E-4</v>
      </c>
      <c r="G18" s="4">
        <f t="shared" si="3"/>
        <v>250000</v>
      </c>
      <c r="H18" s="4">
        <f t="shared" si="4"/>
        <v>-1000</v>
      </c>
      <c r="I18" s="4">
        <f t="shared" ref="I18" si="12">C18/$D$3</f>
        <v>0.97499999999999998</v>
      </c>
      <c r="J18" s="4">
        <f t="shared" ref="J18" si="13">(-H18+SQRT(H18^2-4*G18*I18))/(2*G18)</f>
        <v>2.3162277660168378E-3</v>
      </c>
      <c r="K18" s="4">
        <f t="shared" ref="K18" si="14">(-H18-SQRT(H18^2-4*G18*I18))/(2*G18)</f>
        <v>1.6837722339831621E-3</v>
      </c>
      <c r="L18" s="4"/>
      <c r="M18" s="4"/>
      <c r="N18" s="4"/>
      <c r="O18" s="4"/>
      <c r="P18" s="4"/>
    </row>
    <row r="19" spans="1:16" ht="21.75" customHeight="1" x14ac:dyDescent="0.25">
      <c r="A19" s="3"/>
      <c r="B19" s="5">
        <f t="shared" ref="B19:B22" si="15">MIN(J19:K19)</f>
        <v>1.7171572875253811E-3</v>
      </c>
      <c r="C19" s="10">
        <f>C8*1.96</f>
        <v>29.4</v>
      </c>
      <c r="D19" s="10">
        <f t="shared" si="1"/>
        <v>5.6901586977664738E-4</v>
      </c>
      <c r="E19" s="11">
        <v>0</v>
      </c>
      <c r="F19" s="12">
        <f t="shared" ref="F19:F22" si="16">D19</f>
        <v>5.6901586977664738E-4</v>
      </c>
      <c r="G19" s="4">
        <f t="shared" si="3"/>
        <v>250000</v>
      </c>
      <c r="H19" s="4">
        <f t="shared" si="4"/>
        <v>-1000</v>
      </c>
      <c r="I19" s="4">
        <f t="shared" ref="I19:I22" si="17">C19/$D$3</f>
        <v>0.98</v>
      </c>
      <c r="J19" s="4">
        <f t="shared" ref="J19" si="18">(-H19+SQRT(H19^2-4*G19*I19))/(2*G19)</f>
        <v>2.282842712474619E-3</v>
      </c>
      <c r="K19" s="4">
        <f t="shared" ref="K19" si="19">(-H19-SQRT(H19^2-4*G19*I19))/(2*G19)</f>
        <v>1.7171572875253811E-3</v>
      </c>
      <c r="L19" s="4"/>
      <c r="M19" s="4"/>
      <c r="N19" s="4"/>
      <c r="O19" s="4"/>
      <c r="P19" s="4"/>
    </row>
    <row r="20" spans="1:16" ht="21.75" customHeight="1" x14ac:dyDescent="0.25">
      <c r="A20" s="3"/>
      <c r="B20" s="5">
        <f t="shared" si="15"/>
        <v>1.7550510257216823E-3</v>
      </c>
      <c r="C20" s="10">
        <f>C8*1.97</f>
        <v>29.55</v>
      </c>
      <c r="D20" s="10">
        <f t="shared" si="1"/>
        <v>6.0105174359667947E-4</v>
      </c>
      <c r="E20" s="11">
        <v>0</v>
      </c>
      <c r="F20" s="12">
        <f t="shared" si="16"/>
        <v>6.0105174359667947E-4</v>
      </c>
      <c r="G20" s="4">
        <f t="shared" si="3"/>
        <v>250000</v>
      </c>
      <c r="H20" s="4">
        <f t="shared" si="4"/>
        <v>-1000</v>
      </c>
      <c r="I20" s="4">
        <f t="shared" si="17"/>
        <v>0.98499999999999999</v>
      </c>
      <c r="J20" s="4">
        <f t="shared" ref="J20:J22" si="20">(-H20+SQRT(H20^2-4*G20*I20))/(2*G20)</f>
        <v>2.2449489742783178E-3</v>
      </c>
      <c r="K20" s="4">
        <f t="shared" ref="K20:K22" si="21">(-H20-SQRT(H20^2-4*G20*I20))/(2*G20)</f>
        <v>1.7550510257216823E-3</v>
      </c>
      <c r="L20" s="4"/>
      <c r="M20" s="4"/>
      <c r="N20" s="4"/>
      <c r="O20" s="4"/>
      <c r="P20" s="4"/>
    </row>
    <row r="21" spans="1:16" ht="21.75" customHeight="1" x14ac:dyDescent="0.25">
      <c r="A21" s="3"/>
      <c r="B21" s="5">
        <f t="shared" si="15"/>
        <v>1.8E-3</v>
      </c>
      <c r="C21" s="10">
        <f>C8*1.98</f>
        <v>29.7</v>
      </c>
      <c r="D21" s="10">
        <f t="shared" si="1"/>
        <v>6.401428534987283E-4</v>
      </c>
      <c r="E21" s="11">
        <v>0</v>
      </c>
      <c r="F21" s="12">
        <f t="shared" si="16"/>
        <v>6.401428534987283E-4</v>
      </c>
      <c r="G21" s="4">
        <f t="shared" si="3"/>
        <v>250000</v>
      </c>
      <c r="H21" s="4">
        <f t="shared" si="4"/>
        <v>-1000</v>
      </c>
      <c r="I21" s="4">
        <f t="shared" si="17"/>
        <v>0.99</v>
      </c>
      <c r="J21" s="4">
        <f t="shared" si="20"/>
        <v>2.2000000000000001E-3</v>
      </c>
      <c r="K21" s="4">
        <f t="shared" si="21"/>
        <v>1.8E-3</v>
      </c>
      <c r="L21" s="4"/>
      <c r="M21" s="4"/>
      <c r="N21" s="4"/>
      <c r="O21" s="4"/>
      <c r="P21" s="4"/>
    </row>
    <row r="22" spans="1:16" ht="21.75" customHeight="1" x14ac:dyDescent="0.25">
      <c r="A22" s="3"/>
      <c r="B22" s="5">
        <f t="shared" si="15"/>
        <v>1.8585786437626906E-3</v>
      </c>
      <c r="C22" s="10">
        <f>C8*1.99</f>
        <v>29.85</v>
      </c>
      <c r="D22" s="10">
        <f t="shared" si="1"/>
        <v>6.9286363288514961E-4</v>
      </c>
      <c r="E22" s="11">
        <v>0</v>
      </c>
      <c r="F22" s="12">
        <f t="shared" si="16"/>
        <v>6.9286363288514961E-4</v>
      </c>
      <c r="G22" s="4">
        <f t="shared" si="3"/>
        <v>250000</v>
      </c>
      <c r="H22" s="4">
        <f t="shared" si="4"/>
        <v>-1000</v>
      </c>
      <c r="I22" s="4">
        <f t="shared" si="17"/>
        <v>0.995</v>
      </c>
      <c r="J22" s="4">
        <f t="shared" si="20"/>
        <v>2.1414213562373097E-3</v>
      </c>
      <c r="K22" s="4">
        <f t="shared" si="21"/>
        <v>1.8585786437626906E-3</v>
      </c>
      <c r="L22" s="4"/>
      <c r="M22" s="4"/>
      <c r="N22" s="4"/>
      <c r="O22" s="4"/>
      <c r="P22" s="4"/>
    </row>
    <row r="23" spans="1:16" ht="21.75" customHeight="1" x14ac:dyDescent="0.25">
      <c r="A23" s="3" t="s">
        <v>21</v>
      </c>
      <c r="B23" s="5">
        <f t="shared" si="0"/>
        <v>2E-3</v>
      </c>
      <c r="C23" s="10">
        <f>C8/0.5</f>
        <v>30</v>
      </c>
      <c r="D23" s="10">
        <f t="shared" si="1"/>
        <v>8.2842712474619023E-4</v>
      </c>
      <c r="E23" s="11">
        <f>1-(C23/$D$3)</f>
        <v>0</v>
      </c>
      <c r="F23" s="12">
        <f t="shared" si="2"/>
        <v>8.2842712474619023E-4</v>
      </c>
      <c r="G23" s="4">
        <f t="shared" si="3"/>
        <v>250000</v>
      </c>
      <c r="H23" s="4">
        <f t="shared" si="4"/>
        <v>-1000</v>
      </c>
      <c r="I23" s="4">
        <f t="shared" si="5"/>
        <v>1</v>
      </c>
      <c r="J23" s="4">
        <f t="shared" si="6"/>
        <v>2E-3</v>
      </c>
      <c r="K23" s="4">
        <f t="shared" si="7"/>
        <v>2E-3</v>
      </c>
      <c r="L23" s="4"/>
      <c r="M23" s="4"/>
      <c r="N23" s="4"/>
      <c r="O23" s="4"/>
      <c r="P23" s="4"/>
    </row>
    <row r="24" spans="1:16" ht="21.75" customHeight="1" x14ac:dyDescent="0.25">
      <c r="A24" s="3">
        <f>(B43-B23)/20</f>
        <v>8.9999999999999992E-5</v>
      </c>
      <c r="B24" s="5">
        <f>B23+$A$24</f>
        <v>2.0899999999999998E-3</v>
      </c>
      <c r="C24" s="10">
        <f>$D$3*(1-0.8*(B24-$F$3)/($F$5-$F$3))</f>
        <v>28.8</v>
      </c>
      <c r="D24" s="10">
        <f t="shared" si="1"/>
        <v>9.6529003975634226E-4</v>
      </c>
      <c r="E24" s="11">
        <f t="shared" ref="E24:E27" si="22">1-(C24/$D$3)</f>
        <v>3.9999999999999925E-2</v>
      </c>
      <c r="F24" s="12">
        <f t="shared" ref="F24:F27" si="23">D24</f>
        <v>9.6529003975634226E-4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1.75" customHeight="1" x14ac:dyDescent="0.25">
      <c r="A25" s="3"/>
      <c r="B25" s="5">
        <f t="shared" ref="B25:B42" si="24">B24+$A$24</f>
        <v>2.1799999999999996E-3</v>
      </c>
      <c r="C25" s="10">
        <f t="shared" ref="C25:C43" si="25">$D$3*(1-0.8*(B25-$F$3)/($F$5-$F$3))</f>
        <v>27.600000000000005</v>
      </c>
      <c r="D25" s="10">
        <f t="shared" si="1"/>
        <v>1.1021529547664943E-3</v>
      </c>
      <c r="E25" s="11">
        <f t="shared" si="22"/>
        <v>7.9999999999999849E-2</v>
      </c>
      <c r="F25" s="12">
        <f t="shared" si="23"/>
        <v>1.1021529547664943E-3</v>
      </c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1.75" customHeight="1" x14ac:dyDescent="0.25">
      <c r="A26" s="3"/>
      <c r="B26" s="5">
        <f t="shared" si="24"/>
        <v>2.2699999999999994E-3</v>
      </c>
      <c r="C26" s="10">
        <f t="shared" si="25"/>
        <v>26.400000000000006</v>
      </c>
      <c r="D26" s="10">
        <f t="shared" si="1"/>
        <v>1.2390158697766465E-3</v>
      </c>
      <c r="E26" s="11">
        <f t="shared" si="22"/>
        <v>0.11999999999999977</v>
      </c>
      <c r="F26" s="12">
        <f t="shared" si="23"/>
        <v>1.2390158697766465E-3</v>
      </c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1.75" customHeight="1" x14ac:dyDescent="0.25">
      <c r="A27" s="3"/>
      <c r="B27" s="5">
        <f t="shared" si="24"/>
        <v>2.3599999999999993E-3</v>
      </c>
      <c r="C27" s="10">
        <f t="shared" si="25"/>
        <v>25.20000000000001</v>
      </c>
      <c r="D27" s="10">
        <f t="shared" si="1"/>
        <v>1.3758787847867986E-3</v>
      </c>
      <c r="E27" s="11">
        <f t="shared" si="22"/>
        <v>0.1599999999999997</v>
      </c>
      <c r="F27" s="12">
        <f t="shared" si="23"/>
        <v>1.3758787847867986E-3</v>
      </c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1.75" customHeight="1" x14ac:dyDescent="0.25">
      <c r="A28" s="3"/>
      <c r="B28" s="5">
        <f t="shared" si="24"/>
        <v>2.4499999999999991E-3</v>
      </c>
      <c r="C28" s="10">
        <f t="shared" si="25"/>
        <v>24.000000000000014</v>
      </c>
      <c r="D28" s="10">
        <f t="shared" si="1"/>
        <v>1.5127416997969506E-3</v>
      </c>
      <c r="E28" s="11">
        <f t="shared" ref="E28:E37" si="26">1-(C28/$D$3)</f>
        <v>0.19999999999999951</v>
      </c>
      <c r="F28" s="12">
        <f t="shared" si="2"/>
        <v>1.5127416997969506E-3</v>
      </c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1.75" customHeight="1" x14ac:dyDescent="0.25">
      <c r="A29" s="3"/>
      <c r="B29" s="5">
        <f t="shared" si="24"/>
        <v>2.5399999999999989E-3</v>
      </c>
      <c r="C29" s="10">
        <f t="shared" si="25"/>
        <v>22.800000000000015</v>
      </c>
      <c r="D29" s="10">
        <f t="shared" si="1"/>
        <v>1.6496046148071026E-3</v>
      </c>
      <c r="E29" s="11">
        <f t="shared" si="26"/>
        <v>0.23999999999999955</v>
      </c>
      <c r="F29" s="12">
        <f t="shared" si="2"/>
        <v>1.6496046148071026E-3</v>
      </c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1.75" customHeight="1" x14ac:dyDescent="0.25">
      <c r="A30" s="3"/>
      <c r="B30" s="5">
        <f t="shared" si="24"/>
        <v>2.6299999999999987E-3</v>
      </c>
      <c r="C30" s="10">
        <f t="shared" si="25"/>
        <v>21.600000000000019</v>
      </c>
      <c r="D30" s="10">
        <f t="shared" si="1"/>
        <v>1.7864675298172547E-3</v>
      </c>
      <c r="E30" s="11">
        <f t="shared" si="26"/>
        <v>0.27999999999999936</v>
      </c>
      <c r="F30" s="12">
        <f t="shared" si="2"/>
        <v>1.7864675298172547E-3</v>
      </c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1.75" customHeight="1" x14ac:dyDescent="0.25">
      <c r="A31" s="3"/>
      <c r="B31" s="5">
        <f t="shared" si="24"/>
        <v>2.7199999999999985E-3</v>
      </c>
      <c r="C31" s="10">
        <f t="shared" si="25"/>
        <v>20.40000000000002</v>
      </c>
      <c r="D31" s="10">
        <f t="shared" si="1"/>
        <v>1.9233304448274071E-3</v>
      </c>
      <c r="E31" s="11">
        <f t="shared" si="26"/>
        <v>0.31999999999999929</v>
      </c>
      <c r="F31" s="12">
        <f t="shared" si="2"/>
        <v>1.9233304448274071E-3</v>
      </c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1.75" customHeight="1" x14ac:dyDescent="0.25">
      <c r="A32" s="3"/>
      <c r="B32" s="5">
        <f t="shared" si="24"/>
        <v>2.8099999999999983E-3</v>
      </c>
      <c r="C32" s="10">
        <f t="shared" si="25"/>
        <v>19.200000000000024</v>
      </c>
      <c r="D32" s="10">
        <f t="shared" si="1"/>
        <v>2.0601933598375591E-3</v>
      </c>
      <c r="E32" s="11">
        <f t="shared" si="26"/>
        <v>0.35999999999999921</v>
      </c>
      <c r="F32" s="12">
        <f t="shared" si="2"/>
        <v>2.0601933598375591E-3</v>
      </c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1.75" customHeight="1" x14ac:dyDescent="0.25">
      <c r="A33" s="3"/>
      <c r="B33" s="5">
        <f t="shared" si="24"/>
        <v>2.8999999999999981E-3</v>
      </c>
      <c r="C33" s="10">
        <f t="shared" si="25"/>
        <v>18.000000000000025</v>
      </c>
      <c r="D33" s="10">
        <f t="shared" si="1"/>
        <v>2.1970562748477112E-3</v>
      </c>
      <c r="E33" s="11">
        <f t="shared" si="26"/>
        <v>0.39999999999999913</v>
      </c>
      <c r="F33" s="12">
        <f t="shared" si="2"/>
        <v>2.1970562748477112E-3</v>
      </c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1.75" customHeight="1" x14ac:dyDescent="0.25">
      <c r="A34" s="3"/>
      <c r="B34" s="5">
        <f t="shared" si="24"/>
        <v>2.9899999999999979E-3</v>
      </c>
      <c r="C34" s="10">
        <f t="shared" si="25"/>
        <v>16.800000000000029</v>
      </c>
      <c r="D34" s="10">
        <f t="shared" si="1"/>
        <v>2.3339191898578632E-3</v>
      </c>
      <c r="E34" s="11">
        <f t="shared" si="26"/>
        <v>0.43999999999999906</v>
      </c>
      <c r="F34" s="12">
        <f t="shared" si="2"/>
        <v>2.3339191898578632E-3</v>
      </c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21.75" customHeight="1" x14ac:dyDescent="0.25">
      <c r="A35" s="3"/>
      <c r="B35" s="5">
        <f t="shared" si="24"/>
        <v>3.0799999999999977E-3</v>
      </c>
      <c r="C35" s="10">
        <f t="shared" si="25"/>
        <v>15.60000000000003</v>
      </c>
      <c r="D35" s="10">
        <f t="shared" si="1"/>
        <v>2.4707821048680152E-3</v>
      </c>
      <c r="E35" s="11">
        <f t="shared" si="26"/>
        <v>0.47999999999999898</v>
      </c>
      <c r="F35" s="12">
        <f t="shared" si="2"/>
        <v>2.4707821048680152E-3</v>
      </c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1.75" customHeight="1" x14ac:dyDescent="0.25">
      <c r="A36" s="3"/>
      <c r="B36" s="5">
        <f t="shared" si="24"/>
        <v>3.1699999999999975E-3</v>
      </c>
      <c r="C36" s="10">
        <f t="shared" si="25"/>
        <v>14.400000000000032</v>
      </c>
      <c r="D36" s="10">
        <f t="shared" si="1"/>
        <v>2.6076450198781673E-3</v>
      </c>
      <c r="E36" s="11">
        <f t="shared" si="26"/>
        <v>0.51999999999999891</v>
      </c>
      <c r="F36" s="12">
        <f t="shared" si="2"/>
        <v>2.6076450198781673E-3</v>
      </c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1.75" customHeight="1" x14ac:dyDescent="0.25">
      <c r="A37" s="3"/>
      <c r="B37" s="5">
        <f t="shared" si="24"/>
        <v>3.2599999999999973E-3</v>
      </c>
      <c r="C37" s="10">
        <f t="shared" si="25"/>
        <v>13.200000000000035</v>
      </c>
      <c r="D37" s="10">
        <f t="shared" si="1"/>
        <v>2.7445079348883197E-3</v>
      </c>
      <c r="E37" s="11">
        <f t="shared" si="26"/>
        <v>0.55999999999999883</v>
      </c>
      <c r="F37" s="12">
        <f t="shared" si="2"/>
        <v>2.7445079348883197E-3</v>
      </c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1.75" customHeight="1" x14ac:dyDescent="0.25">
      <c r="A38" s="3"/>
      <c r="B38" s="5">
        <f t="shared" si="24"/>
        <v>3.3499999999999971E-3</v>
      </c>
      <c r="C38" s="10">
        <f t="shared" si="25"/>
        <v>12.000000000000041</v>
      </c>
      <c r="D38" s="10">
        <f t="shared" si="1"/>
        <v>2.8813708498984713E-3</v>
      </c>
      <c r="E38" s="11">
        <f t="shared" ref="E38:E40" si="27">1-(C38/$D$3)</f>
        <v>0.59999999999999865</v>
      </c>
      <c r="F38" s="12">
        <f t="shared" ref="F38:F40" si="28">D38</f>
        <v>2.8813708498984713E-3</v>
      </c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1.75" customHeight="1" x14ac:dyDescent="0.25">
      <c r="A39" s="3"/>
      <c r="B39" s="5">
        <f t="shared" si="24"/>
        <v>3.4399999999999969E-3</v>
      </c>
      <c r="C39" s="10">
        <f t="shared" si="25"/>
        <v>10.800000000000043</v>
      </c>
      <c r="D39" s="10">
        <f t="shared" si="1"/>
        <v>3.0182337649086238E-3</v>
      </c>
      <c r="E39" s="11">
        <f t="shared" si="27"/>
        <v>0.63999999999999857</v>
      </c>
      <c r="F39" s="12">
        <f t="shared" si="28"/>
        <v>3.0182337649086238E-3</v>
      </c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1.75" customHeight="1" x14ac:dyDescent="0.25">
      <c r="A40" s="3"/>
      <c r="B40" s="5">
        <f t="shared" si="24"/>
        <v>3.5299999999999967E-3</v>
      </c>
      <c r="C40" s="10">
        <f t="shared" si="25"/>
        <v>9.6000000000000423</v>
      </c>
      <c r="D40" s="10">
        <f t="shared" si="1"/>
        <v>3.1550966799187758E-3</v>
      </c>
      <c r="E40" s="11">
        <f t="shared" si="27"/>
        <v>0.67999999999999861</v>
      </c>
      <c r="F40" s="12">
        <f t="shared" si="28"/>
        <v>3.1550966799187758E-3</v>
      </c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1.75" customHeight="1" x14ac:dyDescent="0.25">
      <c r="A41" s="3"/>
      <c r="B41" s="5">
        <f t="shared" si="24"/>
        <v>3.6199999999999965E-3</v>
      </c>
      <c r="C41" s="10">
        <f t="shared" si="25"/>
        <v>8.4000000000000448</v>
      </c>
      <c r="D41" s="10">
        <f t="shared" si="1"/>
        <v>3.2919595949289279E-3</v>
      </c>
      <c r="E41" s="11">
        <f t="shared" ref="E41:E43" si="29">1-(C41/$D$3)</f>
        <v>0.71999999999999853</v>
      </c>
      <c r="F41" s="12">
        <f t="shared" ref="F41:F43" si="30">D41</f>
        <v>3.2919595949289279E-3</v>
      </c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1.75" customHeight="1" x14ac:dyDescent="0.25">
      <c r="A42" s="3"/>
      <c r="B42" s="5">
        <f t="shared" si="24"/>
        <v>3.7099999999999963E-3</v>
      </c>
      <c r="C42" s="10">
        <f t="shared" si="25"/>
        <v>7.2000000000000499</v>
      </c>
      <c r="D42" s="10">
        <f t="shared" si="1"/>
        <v>3.4288225099390799E-3</v>
      </c>
      <c r="E42" s="11">
        <f t="shared" si="29"/>
        <v>0.75999999999999834</v>
      </c>
      <c r="F42" s="12">
        <f t="shared" si="30"/>
        <v>3.4288225099390799E-3</v>
      </c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1.75" customHeight="1" thickBot="1" x14ac:dyDescent="0.3">
      <c r="A43" s="3" t="s">
        <v>18</v>
      </c>
      <c r="B43" s="9">
        <v>3.8E-3</v>
      </c>
      <c r="C43" s="10">
        <f t="shared" si="25"/>
        <v>5.9999999999999982</v>
      </c>
      <c r="D43" s="10">
        <f t="shared" si="1"/>
        <v>3.565685424949238E-3</v>
      </c>
      <c r="E43" s="14">
        <f t="shared" si="29"/>
        <v>0.8</v>
      </c>
      <c r="F43" s="15">
        <f t="shared" si="30"/>
        <v>3.565685424949238E-3</v>
      </c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1.75" customHeight="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1.75" customHeight="1" x14ac:dyDescent="0.25"/>
    <row r="46" spans="1:16" ht="21.75" customHeight="1" x14ac:dyDescent="0.25"/>
    <row r="47" spans="1:16" ht="21.75" customHeight="1" x14ac:dyDescent="0.25"/>
    <row r="48" spans="1:16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  <row r="80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</sheetData>
  <sheetProtection algorithmName="SHA-512" hashValue="BJa/IPWou/TzuX/oEy12yElSRNeydTWdzaPpnD+qpzudByz55TlDQq2+o/xJ/cTIfiOFL4VmULBHm3HH2qc4GQ==" saltValue="7WtqyyEkHfuoNKNVKzPa5w==" spinCount="100000" sheet="1" objects="1" scenarios="1" selectLockedCells="1"/>
  <mergeCells count="10">
    <mergeCell ref="L6:P6"/>
    <mergeCell ref="D3:D4"/>
    <mergeCell ref="E3:E4"/>
    <mergeCell ref="G3:G4"/>
    <mergeCell ref="B3:C4"/>
    <mergeCell ref="F3:F4"/>
    <mergeCell ref="B6:F6"/>
    <mergeCell ref="G6:K6"/>
    <mergeCell ref="H3:H4"/>
    <mergeCell ref="J3:L4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CDP - Sajednia</dc:title>
  <dc:creator>Mohammad Sajednia</dc:creator>
  <cp:lastModifiedBy>Mohammad Sajednia</cp:lastModifiedBy>
  <dcterms:created xsi:type="dcterms:W3CDTF">2015-06-05T18:17:20Z</dcterms:created>
  <dcterms:modified xsi:type="dcterms:W3CDTF">2025-01-04T15:07:14Z</dcterms:modified>
</cp:coreProperties>
</file>